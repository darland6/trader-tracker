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ory\projects\finances\"/>
    </mc:Choice>
  </mc:AlternateContent>
  <xr:revisionPtr revIDLastSave="0" documentId="8_{98FF80FF-47DD-430C-AF5A-5D6A06DC365C}" xr6:coauthVersionLast="47" xr6:coauthVersionMax="47" xr10:uidLastSave="{00000000-0000-0000-0000-000000000000}"/>
  <bookViews>
    <workbookView xWindow="765" yWindow="3540" windowWidth="32925" windowHeight="16605" xr2:uid="{C1CD7D94-4427-4627-B972-FF1C4BF4863E}"/>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8" i="1" l="1"/>
  <c r="J34" i="1"/>
  <c r="J20" i="1"/>
  <c r="J19" i="1"/>
  <c r="J18" i="1"/>
  <c r="J17" i="1"/>
  <c r="J16" i="1"/>
  <c r="J15" i="1"/>
  <c r="J14" i="1"/>
  <c r="J21" i="1" s="1"/>
  <c r="J4" i="1"/>
  <c r="K4" i="1" s="1"/>
  <c r="E4" i="1"/>
  <c r="G4" i="1" s="1"/>
  <c r="H4" i="1" l="1"/>
  <c r="I4" i="1" s="1"/>
</calcChain>
</file>

<file path=xl/sharedStrings.xml><?xml version="1.0" encoding="utf-8"?>
<sst xmlns="http://schemas.openxmlformats.org/spreadsheetml/2006/main" count="87" uniqueCount="61">
  <si>
    <t>Monthly</t>
  </si>
  <si>
    <t>To transfer to checking</t>
  </si>
  <si>
    <t>How/why</t>
  </si>
  <si>
    <t>locked small rklb profit</t>
  </si>
  <si>
    <t xml:space="preserve">RKLB </t>
  </si>
  <si>
    <t xml:space="preserve">BMNR 01/30/2026 31.00 P </t>
  </si>
  <si>
    <t>Cash Total</t>
  </si>
  <si>
    <t>Reserved Secured Cash</t>
  </si>
  <si>
    <t>Running Cash Reserves</t>
  </si>
  <si>
    <t>Adjust here to make withdrawal</t>
  </si>
  <si>
    <t>taxable income</t>
  </si>
  <si>
    <t>Dry Powder Pre Tax</t>
  </si>
  <si>
    <t>Dry Powder - WithTax</t>
  </si>
  <si>
    <t>Projections</t>
  </si>
  <si>
    <t>This is the real cash value dry powder saved for trading</t>
  </si>
  <si>
    <t>Dry W/Tax W/ Transfers</t>
  </si>
  <si>
    <t>Trading Gain/Loss</t>
  </si>
  <si>
    <t>Links Specifics</t>
  </si>
  <si>
    <t>Portfolio</t>
  </si>
  <si>
    <t>bmnr</t>
  </si>
  <si>
    <t>nbis</t>
  </si>
  <si>
    <t>tsla</t>
  </si>
  <si>
    <t>meta</t>
  </si>
  <si>
    <t>rklb</t>
  </si>
  <si>
    <t>pltr</t>
  </si>
  <si>
    <t>shares</t>
  </si>
  <si>
    <t>mkt</t>
  </si>
  <si>
    <t>Schwab</t>
  </si>
  <si>
    <t>Etrade</t>
  </si>
  <si>
    <t>spotify</t>
  </si>
  <si>
    <t>Assets Total</t>
  </si>
  <si>
    <t>Goal</t>
  </si>
  <si>
    <t>10m</t>
  </si>
  <si>
    <t>they have the data for ai</t>
  </si>
  <si>
    <t>space, satellite data centers, and  to mars</t>
  </si>
  <si>
    <t>eth running the financials of the world</t>
  </si>
  <si>
    <t>ai copmute hardware and software</t>
  </si>
  <si>
    <t>optimus, marcohard, elon</t>
  </si>
  <si>
    <t>ai software</t>
  </si>
  <si>
    <t>Future withdrawals</t>
  </si>
  <si>
    <t>Trades</t>
  </si>
  <si>
    <t>sold balancing for cash for secured puts</t>
  </si>
  <si>
    <t>collect monthly premium backed selling secured put - bullish</t>
  </si>
  <si>
    <t>Current Portfolio</t>
  </si>
  <si>
    <t>IRA</t>
  </si>
  <si>
    <t>IRA ROTH</t>
  </si>
  <si>
    <t>asst</t>
  </si>
  <si>
    <t>for fun for btc</t>
  </si>
  <si>
    <t>1. Buy and hold Stocks, Prices increase, requires maintenance rebalanced and eyes on the market</t>
  </si>
  <si>
    <t>2. Collect options premiums on assets owned. Can collect to whatever income level we want I am choosing to collect at least my 2500 contribution to our huntington account</t>
  </si>
  <si>
    <t>recent pltr sold, low gains not important, all other stocks are in good positions</t>
  </si>
  <si>
    <t>Actual cash, but includes needed tax gain coverage</t>
  </si>
  <si>
    <t>Real Cash Available to use (tax covered already) and minus withdrawals</t>
  </si>
  <si>
    <t>Step 1 -2 Ways to earn Money</t>
  </si>
  <si>
    <t>Part 1. Move large gains into a new account, enough to draw 40k per year easy margin. Either transfer shares for no tax or take profits and invest in voo.</t>
  </si>
  <si>
    <t>Part 2. Use current shcwab account to continue income from stock appreciation, trading, and option selling on remaining cash. Use this to fund the PAL while drawing tax free from the PAL now for living.</t>
  </si>
  <si>
    <t>Step 2 -Self Borrow (Depdency is time on step 1)</t>
  </si>
  <si>
    <t>Next Events: Market Wide Correction 6-8 weeks, fundstrat. Could trim winners when it comes. Can take big profit on RKLB right now if we want lock in over 50%. Bmnr put expires 1/31, monitor and roll or let expire.</t>
  </si>
  <si>
    <t>Why do I want this plan - Companies will only shrink because of agentic apps, either we start be entrepreneuers or we use my assets here as leverage to grow and live off of. Ill keep apply for jobs and trying to get one but this is what I want to try for.</t>
  </si>
  <si>
    <t>Savefor Tax @ 37%</t>
  </si>
  <si>
    <t xml:space="preserve">Tools to adjust this: Take losses on stocks owned. Take profits on stocks.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</si>
</sst>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1"/>
      <color theme="0"/>
      <name val="Calibri"/>
      <family val="2"/>
      <scheme val="minor"/>
    </font>
    <font>
      <sz val="8"/>
      <name val="Calibri"/>
      <family val="2"/>
      <scheme val="minor"/>
    </font>
  </fonts>
  <fills count="9">
    <fill>
      <patternFill patternType="none"/>
    </fill>
    <fill>
      <patternFill patternType="gray125"/>
    </fill>
    <fill>
      <patternFill patternType="solid">
        <fgColor theme="4"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8"/>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2" fillId="7" borderId="0" applyNumberFormat="0" applyBorder="0" applyAlignment="0" applyProtection="0"/>
  </cellStyleXfs>
  <cellXfs count="25">
    <xf numFmtId="0" fontId="0" fillId="0" borderId="0" xfId="0"/>
    <xf numFmtId="0" fontId="0" fillId="8" borderId="0" xfId="0" applyFill="1"/>
    <xf numFmtId="0" fontId="0" fillId="0" borderId="0" xfId="0" applyAlignment="1">
      <alignment wrapText="1"/>
    </xf>
    <xf numFmtId="9" fontId="0" fillId="0" borderId="0" xfId="0" applyNumberFormat="1"/>
    <xf numFmtId="0" fontId="2" fillId="7" borderId="0" xfId="6"/>
    <xf numFmtId="0" fontId="1" fillId="4" borderId="0" xfId="3"/>
    <xf numFmtId="0" fontId="1" fillId="4" borderId="1" xfId="3" applyBorder="1"/>
    <xf numFmtId="0" fontId="1" fillId="4" borderId="2" xfId="3" applyBorder="1"/>
    <xf numFmtId="0" fontId="2" fillId="7" borderId="1" xfId="6" applyBorder="1"/>
    <xf numFmtId="16" fontId="2" fillId="7" borderId="1" xfId="6" applyNumberFormat="1" applyBorder="1"/>
    <xf numFmtId="0" fontId="1" fillId="4" borderId="3" xfId="3" applyBorder="1"/>
    <xf numFmtId="0" fontId="0" fillId="6" borderId="1" xfId="5" applyFont="1" applyBorder="1"/>
    <xf numFmtId="0" fontId="1" fillId="6" borderId="1" xfId="5" applyBorder="1"/>
    <xf numFmtId="16" fontId="1" fillId="6" borderId="1" xfId="5" applyNumberFormat="1" applyBorder="1"/>
    <xf numFmtId="0" fontId="0" fillId="6" borderId="1" xfId="5" applyFont="1" applyBorder="1" applyAlignment="1">
      <alignment wrapText="1"/>
    </xf>
    <xf numFmtId="0" fontId="1" fillId="6" borderId="1" xfId="5" applyBorder="1" applyAlignment="1">
      <alignment vertical="center" wrapText="1"/>
    </xf>
    <xf numFmtId="0" fontId="1" fillId="6" borderId="1" xfId="5" applyBorder="1" applyAlignment="1">
      <alignment wrapText="1"/>
    </xf>
    <xf numFmtId="0" fontId="1" fillId="5" borderId="0" xfId="4"/>
    <xf numFmtId="0" fontId="0" fillId="5" borderId="0" xfId="4" applyFont="1"/>
    <xf numFmtId="0" fontId="1" fillId="2" borderId="1" xfId="1" applyBorder="1"/>
    <xf numFmtId="14" fontId="1" fillId="5" borderId="0" xfId="4" applyNumberFormat="1"/>
    <xf numFmtId="0" fontId="1" fillId="3" borderId="1" xfId="2" applyBorder="1"/>
    <xf numFmtId="14" fontId="0" fillId="8" borderId="0" xfId="0" applyNumberFormat="1" applyFill="1"/>
    <xf numFmtId="0" fontId="0" fillId="8" borderId="0" xfId="0" applyFill="1" applyAlignment="1">
      <alignment wrapText="1"/>
    </xf>
    <xf numFmtId="0" fontId="0" fillId="4" borderId="2" xfId="3" applyFont="1" applyBorder="1"/>
  </cellXfs>
  <cellStyles count="7">
    <cellStyle name="20% - Accent4" xfId="5" builtinId="42"/>
    <cellStyle name="40% - Accent1" xfId="1" builtinId="31"/>
    <cellStyle name="40% - Accent3" xfId="4" builtinId="39"/>
    <cellStyle name="60% - Accent1" xfId="2" builtinId="32"/>
    <cellStyle name="60% - Accent2" xfId="3" builtinId="36"/>
    <cellStyle name="Accent5" xfId="6"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lient.schwab.com/SymbolRouting.aspx?symbol=BMNR%2001%2F30%2F2026%2031.00%20P" TargetMode="External"/><Relationship Id="rId1" Type="http://schemas.openxmlformats.org/officeDocument/2006/relationships/hyperlink" Target="https://client.schwab.com/SymbolRouting.aspx?symbol=RKL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4EB0E-4097-4244-A369-AC7399309462}">
  <dimension ref="A1:M84"/>
  <sheetViews>
    <sheetView tabSelected="1" zoomScale="85" zoomScaleNormal="85" workbookViewId="0">
      <selection activeCell="K8" sqref="K8"/>
    </sheetView>
  </sheetViews>
  <sheetFormatPr defaultRowHeight="15" x14ac:dyDescent="0.25"/>
  <cols>
    <col min="1" max="1" width="13.42578125" customWidth="1"/>
    <col min="2" max="2" width="15.85546875" customWidth="1"/>
    <col min="3" max="3" width="29.140625" customWidth="1"/>
    <col min="4" max="4" width="36.85546875" customWidth="1"/>
    <col min="5" max="5" width="25.5703125" customWidth="1"/>
    <col min="6" max="6" width="37.140625" customWidth="1"/>
    <col min="7" max="7" width="44.7109375" customWidth="1"/>
    <col min="8" max="8" width="22.140625" customWidth="1"/>
    <col min="9" max="9" width="32.140625" customWidth="1"/>
    <col min="10" max="10" width="16.42578125" customWidth="1"/>
    <col min="11" max="11" width="20.5703125" customWidth="1"/>
    <col min="12" max="12" width="10.5703125" style="4" customWidth="1"/>
    <col min="13" max="13" width="31.5703125" style="4" customWidth="1"/>
  </cols>
  <sheetData>
    <row r="1" spans="1:13" x14ac:dyDescent="0.25">
      <c r="E1" t="s">
        <v>13</v>
      </c>
    </row>
    <row r="2" spans="1:13" ht="62.25" customHeight="1" x14ac:dyDescent="0.25">
      <c r="A2" s="11" t="s">
        <v>40</v>
      </c>
      <c r="B2" s="12" t="s">
        <v>16</v>
      </c>
      <c r="C2" s="12" t="s">
        <v>2</v>
      </c>
      <c r="D2" s="12" t="s">
        <v>17</v>
      </c>
      <c r="E2" s="5" t="s">
        <v>8</v>
      </c>
      <c r="F2" s="5"/>
      <c r="G2" s="5"/>
      <c r="H2" s="5"/>
      <c r="I2" s="5" t="s">
        <v>14</v>
      </c>
      <c r="J2" s="5"/>
      <c r="K2" s="5"/>
      <c r="L2" s="4" t="s">
        <v>39</v>
      </c>
      <c r="M2" s="4" t="s">
        <v>9</v>
      </c>
    </row>
    <row r="3" spans="1:13" x14ac:dyDescent="0.25">
      <c r="A3" s="13">
        <v>46020</v>
      </c>
      <c r="B3" s="12"/>
      <c r="C3" s="12"/>
      <c r="D3" s="12"/>
      <c r="E3" s="10" t="s">
        <v>7</v>
      </c>
      <c r="F3" s="6" t="s">
        <v>6</v>
      </c>
      <c r="G3" s="6" t="s">
        <v>11</v>
      </c>
      <c r="H3" s="6" t="s">
        <v>12</v>
      </c>
      <c r="I3" s="6" t="s">
        <v>15</v>
      </c>
      <c r="J3" s="6" t="s">
        <v>10</v>
      </c>
      <c r="K3" s="24" t="s">
        <v>59</v>
      </c>
      <c r="L3" s="8" t="s">
        <v>0</v>
      </c>
      <c r="M3" s="8" t="s">
        <v>1</v>
      </c>
    </row>
    <row r="4" spans="1:13" x14ac:dyDescent="0.25">
      <c r="A4" s="13">
        <v>46021</v>
      </c>
      <c r="B4" s="12"/>
      <c r="C4" s="12"/>
      <c r="D4" s="12"/>
      <c r="E4" s="10">
        <f>31*100*17</f>
        <v>52700</v>
      </c>
      <c r="F4" s="21">
        <v>64502</v>
      </c>
      <c r="G4" s="6">
        <f>F4-E4</f>
        <v>11802</v>
      </c>
      <c r="H4" s="6">
        <f>G4-K4</f>
        <v>8026.8899999999994</v>
      </c>
      <c r="I4" s="19">
        <f>H4-SUM(M4:M100)</f>
        <v>5526.8899999999994</v>
      </c>
      <c r="J4" s="6">
        <f>SUM(B6:B36)</f>
        <v>10203</v>
      </c>
      <c r="K4" s="7">
        <f>J4*0.37</f>
        <v>3775.11</v>
      </c>
      <c r="L4" s="9">
        <v>46023</v>
      </c>
      <c r="M4" s="8">
        <v>2500</v>
      </c>
    </row>
    <row r="5" spans="1:13" x14ac:dyDescent="0.25">
      <c r="A5" s="13">
        <v>46022</v>
      </c>
      <c r="B5" s="12"/>
      <c r="C5" s="12"/>
      <c r="D5" s="12"/>
      <c r="F5" t="s">
        <v>51</v>
      </c>
      <c r="I5" t="s">
        <v>52</v>
      </c>
      <c r="L5" s="9">
        <v>46024</v>
      </c>
      <c r="M5" s="8"/>
    </row>
    <row r="6" spans="1:13" ht="75" x14ac:dyDescent="0.25">
      <c r="A6" s="13">
        <v>46023</v>
      </c>
      <c r="B6" s="12"/>
      <c r="C6" s="12"/>
      <c r="D6" s="12"/>
      <c r="J6" s="2" t="s">
        <v>60</v>
      </c>
      <c r="L6" s="9">
        <v>46025</v>
      </c>
      <c r="M6" s="8"/>
    </row>
    <row r="7" spans="1:13" ht="105" x14ac:dyDescent="0.25">
      <c r="A7" s="13">
        <v>46024</v>
      </c>
      <c r="B7" s="12"/>
      <c r="C7" s="12"/>
      <c r="D7" s="12"/>
      <c r="F7" s="2" t="s">
        <v>58</v>
      </c>
      <c r="L7" s="9">
        <v>46026</v>
      </c>
      <c r="M7" s="8"/>
    </row>
    <row r="8" spans="1:13" ht="105" x14ac:dyDescent="0.25">
      <c r="A8" s="13">
        <v>46025</v>
      </c>
      <c r="B8" s="12"/>
      <c r="C8" s="12"/>
      <c r="D8" s="12"/>
      <c r="F8" t="s">
        <v>53</v>
      </c>
      <c r="G8" t="s">
        <v>56</v>
      </c>
      <c r="I8" s="23" t="s">
        <v>57</v>
      </c>
      <c r="J8" s="1"/>
      <c r="L8" s="9">
        <v>46027</v>
      </c>
      <c r="M8" s="8"/>
    </row>
    <row r="9" spans="1:13" ht="60" x14ac:dyDescent="0.25">
      <c r="A9" s="13">
        <v>46026</v>
      </c>
      <c r="B9" s="12"/>
      <c r="C9" s="12"/>
      <c r="D9" s="12"/>
      <c r="F9" s="2" t="s">
        <v>48</v>
      </c>
      <c r="G9" s="2" t="s">
        <v>54</v>
      </c>
      <c r="I9" s="1"/>
      <c r="J9" s="22"/>
      <c r="L9" s="9">
        <v>46028</v>
      </c>
      <c r="M9" s="8"/>
    </row>
    <row r="10" spans="1:13" ht="105" customHeight="1" x14ac:dyDescent="0.25">
      <c r="A10" s="13">
        <v>46027</v>
      </c>
      <c r="B10" s="12">
        <v>5500</v>
      </c>
      <c r="C10" s="14" t="s">
        <v>41</v>
      </c>
      <c r="D10" s="14" t="s">
        <v>50</v>
      </c>
      <c r="F10" s="2" t="s">
        <v>49</v>
      </c>
      <c r="G10" s="2" t="s">
        <v>55</v>
      </c>
      <c r="L10" s="9">
        <v>46029</v>
      </c>
      <c r="M10" s="8"/>
    </row>
    <row r="11" spans="1:13" ht="45" x14ac:dyDescent="0.25">
      <c r="A11" s="13">
        <v>46028</v>
      </c>
      <c r="B11" s="12">
        <v>4000</v>
      </c>
      <c r="C11" s="14" t="s">
        <v>42</v>
      </c>
      <c r="D11" s="15" t="s">
        <v>5</v>
      </c>
      <c r="L11" s="9">
        <v>46030</v>
      </c>
      <c r="M11" s="8"/>
    </row>
    <row r="12" spans="1:13" ht="15" customHeight="1" x14ac:dyDescent="0.25">
      <c r="A12" s="13">
        <v>46029</v>
      </c>
      <c r="B12" s="12">
        <v>703</v>
      </c>
      <c r="C12" s="16" t="s">
        <v>3</v>
      </c>
      <c r="D12" s="15" t="s">
        <v>4</v>
      </c>
      <c r="F12" s="18" t="s">
        <v>43</v>
      </c>
      <c r="G12" s="17"/>
      <c r="H12" s="17" t="s">
        <v>27</v>
      </c>
      <c r="I12" s="17"/>
      <c r="J12" s="20">
        <v>46030</v>
      </c>
      <c r="L12" s="9">
        <v>46031</v>
      </c>
      <c r="M12" s="8"/>
    </row>
    <row r="13" spans="1:13" x14ac:dyDescent="0.25">
      <c r="A13" s="13">
        <v>46030</v>
      </c>
      <c r="B13" s="12"/>
      <c r="C13" s="12"/>
      <c r="D13" s="15"/>
      <c r="F13" s="17"/>
      <c r="G13" s="17"/>
      <c r="H13" s="17" t="s">
        <v>18</v>
      </c>
      <c r="I13" s="17" t="s">
        <v>25</v>
      </c>
      <c r="J13" s="17" t="s">
        <v>26</v>
      </c>
      <c r="L13" s="9">
        <v>46032</v>
      </c>
      <c r="M13" s="8"/>
    </row>
    <row r="14" spans="1:13" x14ac:dyDescent="0.25">
      <c r="A14" s="13">
        <v>46031</v>
      </c>
      <c r="B14" s="12"/>
      <c r="C14" s="12"/>
      <c r="D14" s="15"/>
      <c r="F14" s="17" t="s">
        <v>35</v>
      </c>
      <c r="G14" s="17" t="s">
        <v>27</v>
      </c>
      <c r="H14" s="17" t="s">
        <v>19</v>
      </c>
      <c r="I14" s="17">
        <v>8150</v>
      </c>
      <c r="J14" s="17">
        <f>I14*31.12</f>
        <v>253628</v>
      </c>
      <c r="L14" s="9">
        <v>46033</v>
      </c>
      <c r="M14" s="8"/>
    </row>
    <row r="15" spans="1:13" ht="15" customHeight="1" x14ac:dyDescent="0.25">
      <c r="A15" s="13">
        <v>46032</v>
      </c>
      <c r="B15" s="12"/>
      <c r="C15" s="12"/>
      <c r="D15" s="15"/>
      <c r="F15" s="17" t="s">
        <v>36</v>
      </c>
      <c r="G15" s="17" t="s">
        <v>27</v>
      </c>
      <c r="H15" s="17" t="s">
        <v>20</v>
      </c>
      <c r="I15" s="17">
        <v>1393</v>
      </c>
      <c r="J15" s="17">
        <f>I15*99.14</f>
        <v>138102.01999999999</v>
      </c>
      <c r="L15" s="9">
        <v>46034</v>
      </c>
      <c r="M15" s="8"/>
    </row>
    <row r="16" spans="1:13" x14ac:dyDescent="0.25">
      <c r="A16" s="13">
        <v>46033</v>
      </c>
      <c r="B16" s="12"/>
      <c r="C16" s="12"/>
      <c r="D16" s="15"/>
      <c r="F16" s="17" t="s">
        <v>37</v>
      </c>
      <c r="G16" s="17" t="s">
        <v>27</v>
      </c>
      <c r="H16" s="17" t="s">
        <v>21</v>
      </c>
      <c r="I16" s="17">
        <v>367</v>
      </c>
      <c r="J16" s="17">
        <f>I16*434.89</f>
        <v>159604.63</v>
      </c>
      <c r="L16" s="9">
        <v>46035</v>
      </c>
      <c r="M16" s="8"/>
    </row>
    <row r="17" spans="1:13" x14ac:dyDescent="0.25">
      <c r="A17" s="13">
        <v>46034</v>
      </c>
      <c r="B17" s="12"/>
      <c r="C17" s="12"/>
      <c r="D17" s="15"/>
      <c r="F17" s="17" t="s">
        <v>33</v>
      </c>
      <c r="G17" s="17" t="s">
        <v>27</v>
      </c>
      <c r="H17" s="17" t="s">
        <v>22</v>
      </c>
      <c r="I17" s="17">
        <v>162</v>
      </c>
      <c r="J17" s="17">
        <f>I17*643</f>
        <v>104166</v>
      </c>
      <c r="L17" s="9">
        <v>46036</v>
      </c>
      <c r="M17" s="8"/>
    </row>
    <row r="18" spans="1:13" x14ac:dyDescent="0.25">
      <c r="A18" s="13">
        <v>46035</v>
      </c>
      <c r="B18" s="12"/>
      <c r="C18" s="12"/>
      <c r="D18" s="12"/>
      <c r="F18" s="17" t="s">
        <v>34</v>
      </c>
      <c r="G18" s="17" t="s">
        <v>27</v>
      </c>
      <c r="H18" s="17" t="s">
        <v>23</v>
      </c>
      <c r="I18" s="17">
        <v>1314</v>
      </c>
      <c r="J18" s="17">
        <f>I18*83.29</f>
        <v>109443.06000000001</v>
      </c>
      <c r="L18" s="9">
        <v>46037</v>
      </c>
      <c r="M18" s="8"/>
    </row>
    <row r="19" spans="1:13" x14ac:dyDescent="0.25">
      <c r="A19" s="13">
        <v>46036</v>
      </c>
      <c r="B19" s="12"/>
      <c r="C19" s="12"/>
      <c r="D19" s="12"/>
      <c r="F19" s="17" t="s">
        <v>38</v>
      </c>
      <c r="G19" s="17" t="s">
        <v>27</v>
      </c>
      <c r="H19" s="17" t="s">
        <v>24</v>
      </c>
      <c r="I19" s="17">
        <v>321</v>
      </c>
      <c r="J19" s="17">
        <f>I19*174.96</f>
        <v>56162.16</v>
      </c>
      <c r="L19" s="9">
        <v>46038</v>
      </c>
      <c r="M19" s="8"/>
    </row>
    <row r="20" spans="1:13" x14ac:dyDescent="0.25">
      <c r="A20" s="13">
        <v>46037</v>
      </c>
      <c r="B20" s="12"/>
      <c r="C20" s="12"/>
      <c r="D20" s="12"/>
      <c r="F20" s="17"/>
      <c r="G20" s="17" t="s">
        <v>28</v>
      </c>
      <c r="H20" s="17" t="s">
        <v>29</v>
      </c>
      <c r="I20" s="17">
        <v>694</v>
      </c>
      <c r="J20" s="17">
        <f>600*300</f>
        <v>180000</v>
      </c>
      <c r="L20" s="9">
        <v>46039</v>
      </c>
      <c r="M20" s="8"/>
    </row>
    <row r="21" spans="1:13" x14ac:dyDescent="0.25">
      <c r="A21" s="13">
        <v>46038</v>
      </c>
      <c r="B21" s="12"/>
      <c r="C21" s="12"/>
      <c r="D21" s="12"/>
      <c r="F21" s="17"/>
      <c r="G21" s="17"/>
      <c r="H21" s="17"/>
      <c r="I21" s="17" t="s">
        <v>30</v>
      </c>
      <c r="J21" s="17">
        <f>SUM(J14:J20)</f>
        <v>1001105.8700000001</v>
      </c>
      <c r="K21" s="3"/>
      <c r="L21" s="9">
        <v>46040</v>
      </c>
      <c r="M21" s="8"/>
    </row>
    <row r="22" spans="1:13" x14ac:dyDescent="0.25">
      <c r="A22" s="13">
        <v>46039</v>
      </c>
      <c r="B22" s="12"/>
      <c r="C22" s="12"/>
      <c r="D22" s="12"/>
      <c r="F22" s="17"/>
      <c r="G22" s="17"/>
      <c r="H22" s="17"/>
      <c r="I22" s="17" t="s">
        <v>31</v>
      </c>
      <c r="J22" s="17" t="s">
        <v>32</v>
      </c>
      <c r="K22" s="3"/>
      <c r="L22" s="9">
        <v>46041</v>
      </c>
      <c r="M22" s="8"/>
    </row>
    <row r="23" spans="1:13" x14ac:dyDescent="0.25">
      <c r="A23" s="13">
        <v>46040</v>
      </c>
      <c r="B23" s="12"/>
      <c r="C23" s="12"/>
      <c r="D23" s="12"/>
      <c r="K23" s="3"/>
      <c r="L23" s="9">
        <v>46042</v>
      </c>
      <c r="M23" s="8"/>
    </row>
    <row r="24" spans="1:13" x14ac:dyDescent="0.25">
      <c r="A24" s="13">
        <v>46041</v>
      </c>
      <c r="B24" s="12"/>
      <c r="C24" s="12"/>
      <c r="D24" s="12"/>
      <c r="K24" s="3"/>
      <c r="L24" s="9">
        <v>46043</v>
      </c>
      <c r="M24" s="8"/>
    </row>
    <row r="25" spans="1:13" x14ac:dyDescent="0.25">
      <c r="A25" s="13">
        <v>46042</v>
      </c>
      <c r="B25" s="12"/>
      <c r="C25" s="12"/>
      <c r="D25" s="12"/>
      <c r="F25" s="18" t="s">
        <v>44</v>
      </c>
      <c r="G25" s="17"/>
      <c r="H25" s="17" t="s">
        <v>27</v>
      </c>
      <c r="I25" s="17"/>
      <c r="J25" s="17"/>
      <c r="K25" s="3"/>
      <c r="L25" s="9">
        <v>46044</v>
      </c>
      <c r="M25" s="8"/>
    </row>
    <row r="26" spans="1:13" x14ac:dyDescent="0.25">
      <c r="A26" s="13">
        <v>46043</v>
      </c>
      <c r="B26" s="12"/>
      <c r="C26" s="12"/>
      <c r="D26" s="12"/>
      <c r="F26" s="17"/>
      <c r="G26" s="17"/>
      <c r="H26" s="17" t="s">
        <v>18</v>
      </c>
      <c r="I26" s="17" t="s">
        <v>25</v>
      </c>
      <c r="J26" s="17" t="s">
        <v>26</v>
      </c>
      <c r="K26" s="3"/>
      <c r="L26" s="9">
        <v>46045</v>
      </c>
      <c r="M26" s="8">
        <v>0</v>
      </c>
    </row>
    <row r="27" spans="1:13" x14ac:dyDescent="0.25">
      <c r="A27" s="13">
        <v>46044</v>
      </c>
      <c r="B27" s="12"/>
      <c r="C27" s="12"/>
      <c r="D27" s="12"/>
      <c r="F27" s="17" t="s">
        <v>35</v>
      </c>
      <c r="G27" s="17" t="s">
        <v>27</v>
      </c>
      <c r="H27" s="17" t="s">
        <v>19</v>
      </c>
      <c r="I27" s="17">
        <v>8150</v>
      </c>
      <c r="J27" s="17">
        <v>80000</v>
      </c>
      <c r="L27" s="9">
        <v>46046</v>
      </c>
      <c r="M27" s="8">
        <v>0</v>
      </c>
    </row>
    <row r="28" spans="1:13" x14ac:dyDescent="0.25">
      <c r="A28" s="13">
        <v>46045</v>
      </c>
      <c r="B28" s="12"/>
      <c r="C28" s="12"/>
      <c r="D28" s="12"/>
      <c r="F28" s="17" t="s">
        <v>36</v>
      </c>
      <c r="G28" s="17" t="s">
        <v>27</v>
      </c>
      <c r="H28" s="17" t="s">
        <v>20</v>
      </c>
      <c r="I28" s="17">
        <v>1393</v>
      </c>
      <c r="J28" s="17">
        <v>99000</v>
      </c>
      <c r="L28" s="9">
        <v>46047</v>
      </c>
      <c r="M28" s="8">
        <v>0</v>
      </c>
    </row>
    <row r="29" spans="1:13" x14ac:dyDescent="0.25">
      <c r="A29" s="13">
        <v>46046</v>
      </c>
      <c r="B29" s="12"/>
      <c r="C29" s="12"/>
      <c r="D29" s="12"/>
      <c r="F29" s="17"/>
      <c r="G29" s="17"/>
      <c r="H29" s="17"/>
      <c r="I29" s="17"/>
      <c r="J29" s="17"/>
      <c r="L29" s="9">
        <v>46048</v>
      </c>
      <c r="M29" s="8">
        <v>0</v>
      </c>
    </row>
    <row r="30" spans="1:13" x14ac:dyDescent="0.25">
      <c r="A30" s="13">
        <v>46047</v>
      </c>
      <c r="B30" s="12"/>
      <c r="C30" s="12"/>
      <c r="D30" s="12"/>
      <c r="F30" s="17"/>
      <c r="G30" s="17"/>
      <c r="H30" s="17"/>
      <c r="I30" s="17"/>
      <c r="J30" s="17"/>
      <c r="L30" s="9">
        <v>46049</v>
      </c>
      <c r="M30" s="8">
        <v>0</v>
      </c>
    </row>
    <row r="31" spans="1:13" x14ac:dyDescent="0.25">
      <c r="A31" s="13">
        <v>46048</v>
      </c>
      <c r="B31" s="12"/>
      <c r="C31" s="12"/>
      <c r="D31" s="12"/>
      <c r="F31" s="17"/>
      <c r="G31" s="17"/>
      <c r="H31" s="17"/>
      <c r="I31" s="17"/>
      <c r="J31" s="17"/>
      <c r="L31" s="9">
        <v>46050</v>
      </c>
      <c r="M31" s="8">
        <v>0</v>
      </c>
    </row>
    <row r="32" spans="1:13" x14ac:dyDescent="0.25">
      <c r="A32" s="13">
        <v>46049</v>
      </c>
      <c r="B32" s="12"/>
      <c r="C32" s="12"/>
      <c r="D32" s="12"/>
      <c r="F32" s="17"/>
      <c r="G32" s="17"/>
      <c r="H32" s="17"/>
      <c r="I32" s="17"/>
      <c r="J32" s="17"/>
      <c r="L32" s="9">
        <v>46051</v>
      </c>
      <c r="M32" s="8">
        <v>0</v>
      </c>
    </row>
    <row r="33" spans="1:13" x14ac:dyDescent="0.25">
      <c r="A33" s="13">
        <v>46050</v>
      </c>
      <c r="B33" s="12"/>
      <c r="C33" s="12"/>
      <c r="D33" s="12"/>
      <c r="F33" s="17"/>
      <c r="G33" s="17"/>
      <c r="H33" s="17"/>
      <c r="I33" s="17"/>
      <c r="J33" s="17"/>
      <c r="L33" s="9">
        <v>46052</v>
      </c>
      <c r="M33" s="8">
        <v>0</v>
      </c>
    </row>
    <row r="34" spans="1:13" x14ac:dyDescent="0.25">
      <c r="A34" s="13">
        <v>46051</v>
      </c>
      <c r="B34" s="12"/>
      <c r="C34" s="12"/>
      <c r="D34" s="12"/>
      <c r="F34" s="17"/>
      <c r="G34" s="17"/>
      <c r="H34" s="17"/>
      <c r="I34" s="17" t="s">
        <v>30</v>
      </c>
      <c r="J34" s="17">
        <f>SUM(J27:J33)</f>
        <v>179000</v>
      </c>
      <c r="L34" s="9">
        <v>46053</v>
      </c>
      <c r="M34" s="8">
        <v>0</v>
      </c>
    </row>
    <row r="35" spans="1:13" x14ac:dyDescent="0.25">
      <c r="A35" s="13">
        <v>46052</v>
      </c>
      <c r="B35" s="12"/>
      <c r="C35" s="12"/>
      <c r="D35" s="12"/>
      <c r="F35" s="17"/>
      <c r="G35" s="17"/>
      <c r="H35" s="17"/>
      <c r="I35" s="17" t="s">
        <v>31</v>
      </c>
      <c r="J35" s="17" t="s">
        <v>32</v>
      </c>
      <c r="L35" s="9">
        <v>46054</v>
      </c>
      <c r="M35" s="8"/>
    </row>
    <row r="36" spans="1:13" x14ac:dyDescent="0.25">
      <c r="A36" s="13">
        <v>46053</v>
      </c>
      <c r="B36" s="12"/>
      <c r="C36" s="12"/>
      <c r="D36" s="12"/>
      <c r="L36" s="9">
        <v>46055</v>
      </c>
      <c r="M36" s="8">
        <v>0</v>
      </c>
    </row>
    <row r="37" spans="1:13" x14ac:dyDescent="0.25">
      <c r="A37" s="13">
        <v>46054</v>
      </c>
      <c r="B37" s="12"/>
      <c r="C37" s="12"/>
      <c r="D37" s="12"/>
      <c r="L37" s="9">
        <v>46056</v>
      </c>
      <c r="M37" s="8">
        <v>0</v>
      </c>
    </row>
    <row r="38" spans="1:13" x14ac:dyDescent="0.25">
      <c r="A38" s="13">
        <v>46055</v>
      </c>
      <c r="B38" s="12"/>
      <c r="C38" s="12"/>
      <c r="D38" s="12"/>
      <c r="L38" s="9">
        <v>46057</v>
      </c>
      <c r="M38" s="8">
        <v>0</v>
      </c>
    </row>
    <row r="39" spans="1:13" x14ac:dyDescent="0.25">
      <c r="A39" s="13">
        <v>46056</v>
      </c>
      <c r="B39" s="12"/>
      <c r="C39" s="12"/>
      <c r="D39" s="12"/>
      <c r="F39" s="18" t="s">
        <v>45</v>
      </c>
      <c r="G39" s="17"/>
      <c r="H39" s="17" t="s">
        <v>27</v>
      </c>
      <c r="I39" s="17"/>
      <c r="J39" s="17"/>
      <c r="L39" s="9">
        <v>46058</v>
      </c>
      <c r="M39" s="8">
        <v>0</v>
      </c>
    </row>
    <row r="40" spans="1:13" x14ac:dyDescent="0.25">
      <c r="A40" s="13">
        <v>46057</v>
      </c>
      <c r="B40" s="12"/>
      <c r="C40" s="12"/>
      <c r="D40" s="12"/>
      <c r="F40" s="18" t="s">
        <v>47</v>
      </c>
      <c r="G40" s="17"/>
      <c r="H40" s="17" t="s">
        <v>18</v>
      </c>
      <c r="I40" s="17" t="s">
        <v>25</v>
      </c>
      <c r="J40" s="17" t="s">
        <v>26</v>
      </c>
      <c r="L40" s="9">
        <v>46059</v>
      </c>
      <c r="M40" s="8">
        <v>0</v>
      </c>
    </row>
    <row r="41" spans="1:13" x14ac:dyDescent="0.25">
      <c r="A41" s="13">
        <v>46058</v>
      </c>
      <c r="B41" s="12"/>
      <c r="C41" s="12"/>
      <c r="D41" s="12"/>
      <c r="F41" s="17"/>
      <c r="G41" s="17"/>
      <c r="H41" s="18" t="s">
        <v>46</v>
      </c>
      <c r="I41" s="17"/>
      <c r="J41" s="17">
        <v>4000</v>
      </c>
      <c r="L41" s="9">
        <v>46060</v>
      </c>
      <c r="M41" s="8">
        <v>0</v>
      </c>
    </row>
    <row r="42" spans="1:13" x14ac:dyDescent="0.25">
      <c r="A42" s="13">
        <v>46059</v>
      </c>
      <c r="B42" s="12"/>
      <c r="C42" s="12"/>
      <c r="D42" s="12"/>
      <c r="F42" s="17"/>
      <c r="G42" s="17"/>
      <c r="H42" s="17"/>
      <c r="I42" s="17"/>
      <c r="J42" s="17"/>
      <c r="L42" s="9">
        <v>46061</v>
      </c>
      <c r="M42" s="8">
        <v>0</v>
      </c>
    </row>
    <row r="43" spans="1:13" x14ac:dyDescent="0.25">
      <c r="A43" s="13">
        <v>46060</v>
      </c>
      <c r="B43" s="12"/>
      <c r="C43" s="12"/>
      <c r="D43" s="12"/>
      <c r="F43" s="17"/>
      <c r="G43" s="17"/>
      <c r="H43" s="17"/>
      <c r="I43" s="17"/>
      <c r="J43" s="17"/>
      <c r="L43" s="9">
        <v>46062</v>
      </c>
      <c r="M43" s="8">
        <v>0</v>
      </c>
    </row>
    <row r="44" spans="1:13" x14ac:dyDescent="0.25">
      <c r="A44" s="13">
        <v>46061</v>
      </c>
      <c r="B44" s="12"/>
      <c r="C44" s="12"/>
      <c r="D44" s="12"/>
      <c r="F44" s="17"/>
      <c r="G44" s="17"/>
      <c r="H44" s="17"/>
      <c r="I44" s="17"/>
      <c r="J44" s="17"/>
      <c r="L44" s="9">
        <v>46063</v>
      </c>
      <c r="M44" s="8">
        <v>0</v>
      </c>
    </row>
    <row r="45" spans="1:13" x14ac:dyDescent="0.25">
      <c r="A45" s="13">
        <v>46062</v>
      </c>
      <c r="B45" s="12"/>
      <c r="C45" s="12"/>
      <c r="D45" s="12"/>
      <c r="F45" s="17"/>
      <c r="G45" s="17"/>
      <c r="H45" s="17"/>
      <c r="I45" s="17"/>
      <c r="J45" s="17"/>
      <c r="L45" s="9">
        <v>46064</v>
      </c>
      <c r="M45" s="8">
        <v>0</v>
      </c>
    </row>
    <row r="46" spans="1:13" x14ac:dyDescent="0.25">
      <c r="A46" s="13">
        <v>46063</v>
      </c>
      <c r="B46" s="12"/>
      <c r="C46" s="12"/>
      <c r="D46" s="12"/>
      <c r="F46" s="17"/>
      <c r="G46" s="17"/>
      <c r="H46" s="17"/>
      <c r="I46" s="17"/>
      <c r="J46" s="17"/>
      <c r="L46" s="9">
        <v>46065</v>
      </c>
      <c r="M46" s="8">
        <v>0</v>
      </c>
    </row>
    <row r="47" spans="1:13" x14ac:dyDescent="0.25">
      <c r="A47" s="13">
        <v>46064</v>
      </c>
      <c r="B47" s="12"/>
      <c r="C47" s="12"/>
      <c r="D47" s="12"/>
      <c r="F47" s="17"/>
      <c r="G47" s="17"/>
      <c r="H47" s="17"/>
      <c r="I47" s="17"/>
      <c r="J47" s="17"/>
      <c r="L47" s="9">
        <v>46066</v>
      </c>
      <c r="M47" s="8">
        <v>0</v>
      </c>
    </row>
    <row r="48" spans="1:13" x14ac:dyDescent="0.25">
      <c r="A48" s="13">
        <v>46065</v>
      </c>
      <c r="B48" s="12"/>
      <c r="C48" s="12"/>
      <c r="D48" s="12"/>
      <c r="F48" s="17"/>
      <c r="G48" s="17"/>
      <c r="H48" s="17"/>
      <c r="I48" s="17" t="s">
        <v>30</v>
      </c>
      <c r="J48" s="17">
        <f>SUM(J41:J47)</f>
        <v>4000</v>
      </c>
      <c r="L48" s="9">
        <v>46067</v>
      </c>
      <c r="M48" s="8">
        <v>0</v>
      </c>
    </row>
    <row r="49" spans="1:13" x14ac:dyDescent="0.25">
      <c r="A49" s="13">
        <v>46066</v>
      </c>
      <c r="B49" s="12"/>
      <c r="C49" s="12"/>
      <c r="D49" s="12"/>
      <c r="F49" s="17"/>
      <c r="G49" s="17"/>
      <c r="H49" s="17"/>
      <c r="I49" s="17" t="s">
        <v>31</v>
      </c>
      <c r="J49" s="17" t="s">
        <v>32</v>
      </c>
      <c r="L49" s="9">
        <v>46068</v>
      </c>
      <c r="M49" s="8">
        <v>0</v>
      </c>
    </row>
    <row r="50" spans="1:13" x14ac:dyDescent="0.25">
      <c r="A50" s="13">
        <v>46067</v>
      </c>
      <c r="B50" s="12"/>
      <c r="C50" s="12"/>
      <c r="D50" s="12"/>
      <c r="L50" s="9">
        <v>46069</v>
      </c>
      <c r="M50" s="8">
        <v>0</v>
      </c>
    </row>
    <row r="51" spans="1:13" x14ac:dyDescent="0.25">
      <c r="A51" s="13">
        <v>46068</v>
      </c>
      <c r="B51" s="12"/>
      <c r="C51" s="12"/>
      <c r="D51" s="12"/>
      <c r="L51" s="9">
        <v>46070</v>
      </c>
      <c r="M51" s="8">
        <v>0</v>
      </c>
    </row>
    <row r="52" spans="1:13" x14ac:dyDescent="0.25">
      <c r="A52" s="13">
        <v>46069</v>
      </c>
      <c r="B52" s="12"/>
      <c r="C52" s="12"/>
      <c r="D52" s="12"/>
      <c r="L52" s="9">
        <v>46071</v>
      </c>
      <c r="M52" s="8">
        <v>0</v>
      </c>
    </row>
    <row r="53" spans="1:13" x14ac:dyDescent="0.25">
      <c r="A53" s="13">
        <v>46070</v>
      </c>
      <c r="B53" s="12"/>
      <c r="C53" s="12"/>
      <c r="D53" s="12"/>
      <c r="L53" s="9">
        <v>46072</v>
      </c>
      <c r="M53" s="8">
        <v>0</v>
      </c>
    </row>
    <row r="54" spans="1:13" x14ac:dyDescent="0.25">
      <c r="A54" s="13">
        <v>46071</v>
      </c>
      <c r="B54" s="12"/>
      <c r="C54" s="12"/>
      <c r="D54" s="12"/>
      <c r="L54" s="9">
        <v>46073</v>
      </c>
      <c r="M54" s="8">
        <v>0</v>
      </c>
    </row>
    <row r="55" spans="1:13" x14ac:dyDescent="0.25">
      <c r="A55" s="13">
        <v>46072</v>
      </c>
      <c r="B55" s="12"/>
      <c r="C55" s="12"/>
      <c r="D55" s="12"/>
      <c r="L55" s="9">
        <v>46074</v>
      </c>
      <c r="M55" s="8">
        <v>0</v>
      </c>
    </row>
    <row r="56" spans="1:13" x14ac:dyDescent="0.25">
      <c r="A56" s="13">
        <v>46073</v>
      </c>
      <c r="B56" s="12"/>
      <c r="C56" s="12"/>
      <c r="D56" s="12"/>
      <c r="L56" s="9">
        <v>46075</v>
      </c>
      <c r="M56" s="8">
        <v>0</v>
      </c>
    </row>
    <row r="57" spans="1:13" x14ac:dyDescent="0.25">
      <c r="A57" s="13">
        <v>46074</v>
      </c>
      <c r="B57" s="12"/>
      <c r="C57" s="12"/>
      <c r="D57" s="12"/>
      <c r="L57" s="9">
        <v>46076</v>
      </c>
      <c r="M57" s="8">
        <v>0</v>
      </c>
    </row>
    <row r="58" spans="1:13" x14ac:dyDescent="0.25">
      <c r="A58" s="13">
        <v>46075</v>
      </c>
      <c r="B58" s="12"/>
      <c r="C58" s="12"/>
      <c r="D58" s="12"/>
      <c r="L58" s="9">
        <v>46077</v>
      </c>
      <c r="M58" s="8">
        <v>0</v>
      </c>
    </row>
    <row r="59" spans="1:13" x14ac:dyDescent="0.25">
      <c r="A59" s="13">
        <v>46076</v>
      </c>
      <c r="B59" s="12"/>
      <c r="C59" s="12"/>
      <c r="D59" s="12"/>
      <c r="L59" s="9">
        <v>46078</v>
      </c>
      <c r="M59" s="8">
        <v>0</v>
      </c>
    </row>
    <row r="60" spans="1:13" x14ac:dyDescent="0.25">
      <c r="A60" s="13">
        <v>46077</v>
      </c>
      <c r="B60" s="12"/>
      <c r="C60" s="12"/>
      <c r="D60" s="12"/>
      <c r="L60" s="9">
        <v>46079</v>
      </c>
      <c r="M60" s="8">
        <v>0</v>
      </c>
    </row>
    <row r="61" spans="1:13" x14ac:dyDescent="0.25">
      <c r="A61" s="13">
        <v>46078</v>
      </c>
      <c r="B61" s="12"/>
      <c r="C61" s="12"/>
      <c r="D61" s="12"/>
      <c r="L61" s="9">
        <v>46080</v>
      </c>
      <c r="M61" s="8">
        <v>0</v>
      </c>
    </row>
    <row r="62" spans="1:13" x14ac:dyDescent="0.25">
      <c r="A62" s="13">
        <v>46079</v>
      </c>
      <c r="B62" s="12"/>
      <c r="C62" s="12"/>
      <c r="D62" s="12"/>
      <c r="L62" s="9">
        <v>46081</v>
      </c>
      <c r="M62" s="8">
        <v>0</v>
      </c>
    </row>
    <row r="63" spans="1:13" x14ac:dyDescent="0.25">
      <c r="A63" s="13">
        <v>46080</v>
      </c>
      <c r="B63" s="12"/>
      <c r="C63" s="12"/>
      <c r="D63" s="12"/>
      <c r="L63" s="9">
        <v>46082</v>
      </c>
      <c r="M63" s="8"/>
    </row>
    <row r="64" spans="1:13" x14ac:dyDescent="0.25">
      <c r="A64" s="13">
        <v>46081</v>
      </c>
      <c r="B64" s="12"/>
      <c r="C64" s="12"/>
      <c r="D64" s="12"/>
      <c r="L64" s="9">
        <v>46083</v>
      </c>
      <c r="M64" s="8">
        <v>0</v>
      </c>
    </row>
    <row r="65" spans="1:13" x14ac:dyDescent="0.25">
      <c r="A65" s="13">
        <v>46082</v>
      </c>
      <c r="B65" s="12"/>
      <c r="C65" s="12"/>
      <c r="D65" s="12"/>
      <c r="L65" s="9">
        <v>46084</v>
      </c>
      <c r="M65" s="8">
        <v>0</v>
      </c>
    </row>
    <row r="66" spans="1:13" x14ac:dyDescent="0.25">
      <c r="A66" s="13">
        <v>46083</v>
      </c>
      <c r="B66" s="12"/>
      <c r="C66" s="12"/>
      <c r="D66" s="12"/>
      <c r="L66" s="9">
        <v>46085</v>
      </c>
      <c r="M66" s="8">
        <v>0</v>
      </c>
    </row>
    <row r="67" spans="1:13" x14ac:dyDescent="0.25">
      <c r="A67" s="13">
        <v>46084</v>
      </c>
      <c r="B67" s="12"/>
      <c r="C67" s="12"/>
      <c r="D67" s="12"/>
      <c r="L67" s="9">
        <v>46086</v>
      </c>
      <c r="M67" s="8">
        <v>0</v>
      </c>
    </row>
    <row r="68" spans="1:13" x14ac:dyDescent="0.25">
      <c r="A68" s="13">
        <v>46085</v>
      </c>
      <c r="B68" s="12"/>
      <c r="C68" s="12"/>
      <c r="D68" s="12"/>
      <c r="L68" s="9">
        <v>46087</v>
      </c>
      <c r="M68" s="8">
        <v>0</v>
      </c>
    </row>
    <row r="69" spans="1:13" x14ac:dyDescent="0.25">
      <c r="A69" s="13">
        <v>46086</v>
      </c>
      <c r="B69" s="12"/>
      <c r="C69" s="12"/>
      <c r="D69" s="12"/>
      <c r="L69" s="9">
        <v>46088</v>
      </c>
      <c r="M69" s="8">
        <v>0</v>
      </c>
    </row>
    <row r="70" spans="1:13" x14ac:dyDescent="0.25">
      <c r="A70" s="13">
        <v>46087</v>
      </c>
      <c r="B70" s="12"/>
      <c r="C70" s="12"/>
      <c r="D70" s="12"/>
      <c r="L70" s="9">
        <v>46089</v>
      </c>
      <c r="M70" s="8">
        <v>0</v>
      </c>
    </row>
    <row r="71" spans="1:13" x14ac:dyDescent="0.25">
      <c r="A71" s="13">
        <v>46088</v>
      </c>
      <c r="B71" s="12"/>
      <c r="C71" s="12"/>
      <c r="D71" s="12"/>
      <c r="L71" s="9">
        <v>46090</v>
      </c>
      <c r="M71" s="8">
        <v>0</v>
      </c>
    </row>
    <row r="72" spans="1:13" x14ac:dyDescent="0.25">
      <c r="A72" s="13">
        <v>46089</v>
      </c>
      <c r="B72" s="12"/>
      <c r="C72" s="12"/>
      <c r="D72" s="12"/>
      <c r="L72" s="8"/>
      <c r="M72" s="8"/>
    </row>
    <row r="73" spans="1:13" x14ac:dyDescent="0.25">
      <c r="A73" s="13">
        <v>46090</v>
      </c>
      <c r="B73" s="12"/>
      <c r="C73" s="12"/>
      <c r="D73" s="12"/>
      <c r="L73" s="8"/>
      <c r="M73" s="8"/>
    </row>
    <row r="74" spans="1:13" x14ac:dyDescent="0.25">
      <c r="A74" s="13">
        <v>46091</v>
      </c>
      <c r="B74" s="12"/>
      <c r="C74" s="12"/>
      <c r="D74" s="12"/>
      <c r="L74" s="8"/>
      <c r="M74" s="8"/>
    </row>
    <row r="75" spans="1:13" x14ac:dyDescent="0.25">
      <c r="A75" s="13">
        <v>46092</v>
      </c>
      <c r="B75" s="12"/>
      <c r="C75" s="12"/>
      <c r="D75" s="12"/>
    </row>
    <row r="76" spans="1:13" x14ac:dyDescent="0.25">
      <c r="A76" s="13">
        <v>46093</v>
      </c>
      <c r="B76" s="12"/>
      <c r="C76" s="12"/>
      <c r="D76" s="12"/>
    </row>
    <row r="77" spans="1:13" x14ac:dyDescent="0.25">
      <c r="A77" s="13">
        <v>46094</v>
      </c>
      <c r="B77" s="12"/>
      <c r="C77" s="12"/>
      <c r="D77" s="12"/>
    </row>
    <row r="78" spans="1:13" x14ac:dyDescent="0.25">
      <c r="A78" s="13">
        <v>46095</v>
      </c>
      <c r="B78" s="12"/>
      <c r="C78" s="12"/>
      <c r="D78" s="12"/>
    </row>
    <row r="79" spans="1:13" x14ac:dyDescent="0.25">
      <c r="A79" s="13">
        <v>46096</v>
      </c>
      <c r="B79" s="12"/>
      <c r="C79" s="12"/>
      <c r="D79" s="12"/>
    </row>
    <row r="80" spans="1:13" x14ac:dyDescent="0.25">
      <c r="A80" s="13">
        <v>46097</v>
      </c>
      <c r="B80" s="12"/>
      <c r="C80" s="12"/>
      <c r="D80" s="12"/>
    </row>
    <row r="81" spans="1:4" x14ac:dyDescent="0.25">
      <c r="A81" s="13">
        <v>46098</v>
      </c>
      <c r="B81" s="12"/>
      <c r="C81" s="12"/>
      <c r="D81" s="12"/>
    </row>
    <row r="82" spans="1:4" x14ac:dyDescent="0.25">
      <c r="A82" s="13">
        <v>46099</v>
      </c>
      <c r="B82" s="12"/>
      <c r="C82" s="12"/>
      <c r="D82" s="12"/>
    </row>
    <row r="83" spans="1:4" x14ac:dyDescent="0.25">
      <c r="A83" s="12"/>
      <c r="B83" s="12"/>
      <c r="C83" s="12"/>
      <c r="D83" s="12"/>
    </row>
    <row r="84" spans="1:4" x14ac:dyDescent="0.25">
      <c r="A84" s="12"/>
      <c r="B84" s="12"/>
      <c r="C84" s="12"/>
      <c r="D84" s="12"/>
    </row>
  </sheetData>
  <phoneticPr fontId="3" type="noConversion"/>
  <hyperlinks>
    <hyperlink ref="D12" r:id="rId1" display="https://client.schwab.com/SymbolRouting.aspx?symbol=RKLB" xr:uid="{C3992592-1D4E-47A3-A3E3-6301F09732DB}"/>
    <hyperlink ref="D11" r:id="rId2" display="https://client.schwab.com/SymbolRouting.aspx?symbol=BMNR%2001%2F30%2F2026%2031.00%20P" xr:uid="{0F725BA2-E7B7-4339-9A51-2F627B1A02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cory darland</dc:creator>
  <cp:lastModifiedBy>cory darland</cp:lastModifiedBy>
  <dcterms:created xsi:type="dcterms:W3CDTF">2026-01-08T14:43:12Z</dcterms:created>
  <dcterms:modified xsi:type="dcterms:W3CDTF">2026-01-09T03:08:53Z</dcterms:modified>
</cp:coreProperties>
</file>